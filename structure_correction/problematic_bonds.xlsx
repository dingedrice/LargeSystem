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https://d.docs.live.net/76ea9496839ed18f/Paper4/"/>
    </mc:Choice>
  </mc:AlternateContent>
  <xr:revisionPtr revIDLastSave="493" documentId="8_{E017E4DC-E106-49D0-BEBF-BAB0819A5B81}" xr6:coauthVersionLast="47" xr6:coauthVersionMax="47" xr10:uidLastSave="{3794EB4F-9A67-481F-BFFA-8874A8E16A73}"/>
  <bookViews>
    <workbookView xWindow="-23148" yWindow="-108" windowWidth="23256" windowHeight="12576" activeTab="1" xr2:uid="{00000000-000D-0000-FFFF-FFFF00000000}"/>
  </bookViews>
  <sheets>
    <sheet name="constricted" sheetId="1" r:id="rId1"/>
    <sheet name="dilate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9" i="3" l="1"/>
  <c r="N39" i="3"/>
  <c r="G40" i="3"/>
  <c r="O12" i="1"/>
  <c r="N12" i="1"/>
  <c r="G33" i="3"/>
  <c r="G28" i="3"/>
</calcChain>
</file>

<file path=xl/sharedStrings.xml><?xml version="1.0" encoding="utf-8"?>
<sst xmlns="http://schemas.openxmlformats.org/spreadsheetml/2006/main" count="114" uniqueCount="47">
  <si>
    <t>PDB line</t>
  </si>
  <si>
    <t>Structure 1</t>
  </si>
  <si>
    <t>Structure 2</t>
  </si>
  <si>
    <t>Structure 3</t>
  </si>
  <si>
    <t>VMD index</t>
  </si>
  <si>
    <t>missresidue 1000 to 1004</t>
  </si>
  <si>
    <t>resid 1109 to 1113</t>
  </si>
  <si>
    <t>resid 987 to 1017</t>
  </si>
  <si>
    <t>Structure 4</t>
  </si>
  <si>
    <t>resid 475 to 505</t>
  </si>
  <si>
    <t>resid 138 to 168</t>
  </si>
  <si>
    <t>missresidue 152 to 154</t>
  </si>
  <si>
    <t>Structure 5</t>
  </si>
  <si>
    <t>Structure 6</t>
  </si>
  <si>
    <t>Structure 7</t>
  </si>
  <si>
    <t>resid 808 to 812</t>
  </si>
  <si>
    <t>resid 13 to 23</t>
  </si>
  <si>
    <t>resid 1774 to 1804</t>
  </si>
  <si>
    <t>missresidue 1786 to 1792</t>
  </si>
  <si>
    <t>resid 471 to 501</t>
  </si>
  <si>
    <t>resid 650 to 656</t>
  </si>
  <si>
    <t>missresidue 18</t>
  </si>
  <si>
    <t>missresidue 1111</t>
  </si>
  <si>
    <t>missresidue 810</t>
  </si>
  <si>
    <t>original</t>
  </si>
  <si>
    <t>SBM</t>
  </si>
  <si>
    <t>346 to 350</t>
  </si>
  <si>
    <t>1785 to 1791</t>
  </si>
  <si>
    <t>59 to 61</t>
  </si>
  <si>
    <t>484 to 488</t>
  </si>
  <si>
    <t>1446 to 1450</t>
  </si>
  <si>
    <t>resid 1444 to 1454</t>
  </si>
  <si>
    <t>missresidue  485 to 489</t>
  </si>
  <si>
    <t>Structure 8</t>
  </si>
  <si>
    <t>missresidue 485 to 488</t>
  </si>
  <si>
    <t>484 to 487</t>
  </si>
  <si>
    <t>missresidue 281 to 285</t>
  </si>
  <si>
    <t>resid 276 to 290</t>
  </si>
  <si>
    <t>Structure 9</t>
  </si>
  <si>
    <t>missresidue 158</t>
  </si>
  <si>
    <t>resid 156 to 160</t>
  </si>
  <si>
    <t>missresidue 1447 to 1451</t>
  </si>
  <si>
    <t>missresidue 653</t>
  </si>
  <si>
    <t>N/A</t>
  </si>
  <si>
    <t>resid 482 to 486</t>
  </si>
  <si>
    <t>missresidue 484</t>
  </si>
  <si>
    <t>138 to 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</si>
</sst>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topLeftCell="A10" zoomScaleNormal="100" workbookViewId="0">
      <selection activeCell="L12" sqref="L12"/>
    </sheetView>
  </sheetViews>
  <sheetFormatPr defaultRowHeight="15" x14ac:dyDescent="0.25"/>
  <cols>
    <col min="1" max="1" width="9.140625" style="3"/>
    <col min="2" max="2" width="9.42578125" style="3" customWidth="1"/>
    <col min="3" max="5" width="9.140625" style="3"/>
    <col min="6" max="6" width="14.28515625" style="3" customWidth="1"/>
    <col min="7" max="7" width="9.140625" style="3"/>
    <col min="8" max="8" width="16.7109375" style="3" bestFit="1" customWidth="1"/>
    <col min="9" max="9" width="27.5703125" style="3" customWidth="1"/>
    <col min="10" max="10" width="13.5703125" style="3" customWidth="1"/>
    <col min="11" max="11" width="16.28515625" style="3" customWidth="1"/>
    <col min="12" max="13" width="9.140625" style="3"/>
    <col min="14" max="14" width="10.42578125" style="3" customWidth="1"/>
    <col min="15" max="17" width="9.140625" style="3"/>
    <col min="18" max="18" width="25.85546875" style="3" customWidth="1"/>
    <col min="19" max="16384" width="9.140625" style="3"/>
  </cols>
  <sheetData>
    <row r="1" spans="1:15" s="2" customFormat="1" x14ac:dyDescent="0.25">
      <c r="A1" s="1" t="s">
        <v>4</v>
      </c>
      <c r="B1" s="1"/>
      <c r="D1" s="1" t="s">
        <v>0</v>
      </c>
      <c r="E1" s="1"/>
      <c r="I1" s="2" t="s">
        <v>24</v>
      </c>
      <c r="K1" s="2" t="s">
        <v>25</v>
      </c>
    </row>
    <row r="2" spans="1:15" x14ac:dyDescent="0.25">
      <c r="A2" s="4">
        <v>295561</v>
      </c>
      <c r="B2" s="4">
        <v>295562</v>
      </c>
      <c r="C2" s="4"/>
      <c r="D2" s="4">
        <v>295596</v>
      </c>
      <c r="E2" s="4">
        <v>295597</v>
      </c>
      <c r="F2" s="4" t="s">
        <v>1</v>
      </c>
      <c r="H2" s="3" t="s">
        <v>31</v>
      </c>
      <c r="I2" s="3" t="s">
        <v>41</v>
      </c>
      <c r="K2" s="3" t="s">
        <v>30</v>
      </c>
    </row>
    <row r="3" spans="1:15" x14ac:dyDescent="0.25">
      <c r="A3" s="4">
        <v>450820</v>
      </c>
      <c r="B3" s="4">
        <v>450822</v>
      </c>
      <c r="C3" s="4"/>
      <c r="D3" s="4">
        <v>450895</v>
      </c>
      <c r="E3" s="4">
        <v>450897</v>
      </c>
      <c r="F3" s="4" t="s">
        <v>1</v>
      </c>
    </row>
    <row r="4" spans="1:15" x14ac:dyDescent="0.25">
      <c r="A4" s="4">
        <v>450818</v>
      </c>
      <c r="B4" s="4">
        <v>450820</v>
      </c>
      <c r="C4" s="4"/>
      <c r="D4" s="4">
        <v>450893</v>
      </c>
      <c r="E4" s="4">
        <v>450895</v>
      </c>
      <c r="F4" s="4" t="s">
        <v>1</v>
      </c>
    </row>
    <row r="5" spans="1:15" x14ac:dyDescent="0.25">
      <c r="A5" s="4">
        <v>450819</v>
      </c>
      <c r="B5" s="4">
        <v>450821</v>
      </c>
      <c r="C5" s="4"/>
      <c r="D5" s="4">
        <v>450894</v>
      </c>
      <c r="E5" s="4">
        <v>450896</v>
      </c>
      <c r="F5" s="4" t="s">
        <v>1</v>
      </c>
    </row>
    <row r="6" spans="1:15" x14ac:dyDescent="0.25">
      <c r="A6" s="4">
        <v>450818</v>
      </c>
      <c r="B6" s="4">
        <v>450819</v>
      </c>
      <c r="C6" s="4"/>
      <c r="D6" s="4">
        <v>450893</v>
      </c>
      <c r="E6" s="4">
        <v>450894</v>
      </c>
      <c r="F6" s="4" t="s">
        <v>1</v>
      </c>
    </row>
    <row r="7" spans="1:15" x14ac:dyDescent="0.25">
      <c r="A7" s="4">
        <v>450822</v>
      </c>
      <c r="B7" s="4">
        <v>450823</v>
      </c>
      <c r="C7" s="4"/>
      <c r="D7" s="4">
        <v>450897</v>
      </c>
      <c r="E7" s="4">
        <v>450898</v>
      </c>
      <c r="F7" s="4" t="s">
        <v>1</v>
      </c>
    </row>
    <row r="8" spans="1:15" x14ac:dyDescent="0.25">
      <c r="A8" s="4">
        <v>450821</v>
      </c>
      <c r="B8" s="4">
        <v>450823</v>
      </c>
      <c r="C8" s="4"/>
      <c r="D8" s="4">
        <v>450896</v>
      </c>
      <c r="E8" s="4">
        <v>450898</v>
      </c>
      <c r="F8" s="4" t="s">
        <v>1</v>
      </c>
    </row>
    <row r="9" spans="1:15" x14ac:dyDescent="0.25">
      <c r="A9" s="5">
        <v>287908</v>
      </c>
      <c r="B9" s="5">
        <v>287909</v>
      </c>
      <c r="C9" s="5"/>
      <c r="D9" s="5">
        <v>287943</v>
      </c>
      <c r="E9" s="5">
        <v>287944</v>
      </c>
      <c r="F9" s="5" t="s">
        <v>2</v>
      </c>
      <c r="H9" s="3" t="s">
        <v>19</v>
      </c>
      <c r="I9" s="3" t="s">
        <v>32</v>
      </c>
      <c r="K9" s="3" t="s">
        <v>29</v>
      </c>
    </row>
    <row r="10" spans="1:15" x14ac:dyDescent="0.25">
      <c r="A10" s="5">
        <v>424972</v>
      </c>
      <c r="B10" s="5">
        <v>424975</v>
      </c>
      <c r="C10" s="5"/>
      <c r="D10" s="5">
        <v>425043</v>
      </c>
      <c r="E10" s="5">
        <v>425046</v>
      </c>
      <c r="F10" s="5" t="s">
        <v>2</v>
      </c>
    </row>
    <row r="11" spans="1:15" x14ac:dyDescent="0.25">
      <c r="A11" s="5">
        <v>287901</v>
      </c>
      <c r="B11" s="5">
        <v>287908</v>
      </c>
      <c r="C11" s="5"/>
      <c r="D11" s="5">
        <v>287936</v>
      </c>
      <c r="E11" s="5">
        <v>287943</v>
      </c>
      <c r="F11" s="5" t="s">
        <v>2</v>
      </c>
    </row>
    <row r="12" spans="1:15" x14ac:dyDescent="0.25">
      <c r="A12" s="6">
        <v>279551</v>
      </c>
      <c r="B12" s="6">
        <v>279554</v>
      </c>
      <c r="C12" s="6"/>
      <c r="D12" s="6">
        <v>279583</v>
      </c>
      <c r="E12" s="6">
        <v>279586</v>
      </c>
      <c r="F12" s="6" t="s">
        <v>3</v>
      </c>
      <c r="H12" s="3" t="s">
        <v>31</v>
      </c>
      <c r="I12" s="3" t="s">
        <v>41</v>
      </c>
      <c r="K12" s="3" t="s">
        <v>30</v>
      </c>
      <c r="N12" s="6">
        <f>A12+617133</f>
        <v>896684</v>
      </c>
      <c r="O12" s="6">
        <f>B12+617133</f>
        <v>896687</v>
      </c>
    </row>
    <row r="13" spans="1:15" x14ac:dyDescent="0.25">
      <c r="A13" s="4">
        <v>295573</v>
      </c>
      <c r="B13" s="4">
        <v>295575</v>
      </c>
      <c r="C13" s="4"/>
      <c r="D13" s="4">
        <v>295606</v>
      </c>
      <c r="E13" s="4">
        <v>295608</v>
      </c>
      <c r="F13" s="4" t="s">
        <v>1</v>
      </c>
    </row>
    <row r="14" spans="1:15" x14ac:dyDescent="0.25">
      <c r="A14" s="4">
        <v>295570</v>
      </c>
      <c r="B14" s="4">
        <v>295572</v>
      </c>
      <c r="C14" s="4"/>
      <c r="D14" s="4">
        <v>295603</v>
      </c>
      <c r="E14" s="4">
        <v>295605</v>
      </c>
      <c r="F14" s="4" t="s">
        <v>1</v>
      </c>
    </row>
    <row r="15" spans="1:15" x14ac:dyDescent="0.25">
      <c r="A15" s="4">
        <v>295570</v>
      </c>
      <c r="B15" s="4">
        <v>295573</v>
      </c>
      <c r="C15" s="4"/>
      <c r="D15" s="4">
        <v>295603</v>
      </c>
      <c r="E15" s="4">
        <v>295606</v>
      </c>
      <c r="F15" s="4" t="s">
        <v>1</v>
      </c>
    </row>
    <row r="16" spans="1:15" x14ac:dyDescent="0.25">
      <c r="A16" s="4">
        <v>295572</v>
      </c>
      <c r="B16" s="4">
        <v>295574</v>
      </c>
      <c r="C16" s="4"/>
      <c r="D16" s="4">
        <v>295605</v>
      </c>
      <c r="E16" s="4">
        <v>295607</v>
      </c>
      <c r="F16" s="4" t="s">
        <v>1</v>
      </c>
    </row>
    <row r="17" spans="1:11" x14ac:dyDescent="0.25">
      <c r="A17" s="4">
        <v>295568</v>
      </c>
      <c r="B17" s="4">
        <v>295570</v>
      </c>
      <c r="C17" s="4"/>
      <c r="D17" s="4">
        <v>295601</v>
      </c>
      <c r="E17" s="4">
        <v>295603</v>
      </c>
      <c r="F17" s="4" t="s">
        <v>1</v>
      </c>
    </row>
    <row r="18" spans="1:11" x14ac:dyDescent="0.25">
      <c r="A18" s="4">
        <v>295568</v>
      </c>
      <c r="B18" s="4">
        <v>295569</v>
      </c>
      <c r="C18" s="4"/>
      <c r="D18" s="4">
        <v>295601</v>
      </c>
      <c r="E18" s="4">
        <v>295602</v>
      </c>
      <c r="F18" s="4" t="s">
        <v>1</v>
      </c>
    </row>
    <row r="19" spans="1:11" x14ac:dyDescent="0.25">
      <c r="A19" s="4">
        <v>295569</v>
      </c>
      <c r="B19" s="4">
        <v>295571</v>
      </c>
      <c r="C19" s="4"/>
      <c r="D19" s="4">
        <v>295602</v>
      </c>
      <c r="E19" s="4">
        <v>295604</v>
      </c>
      <c r="F19" s="4" t="s">
        <v>1</v>
      </c>
    </row>
    <row r="20" spans="1:11" x14ac:dyDescent="0.25">
      <c r="A20" s="4">
        <v>295571</v>
      </c>
      <c r="B20" s="4">
        <v>295572</v>
      </c>
      <c r="C20" s="4"/>
      <c r="D20" s="4">
        <v>295604</v>
      </c>
      <c r="E20" s="4">
        <v>295605</v>
      </c>
      <c r="F20" s="4" t="s">
        <v>1</v>
      </c>
    </row>
    <row r="21" spans="1:11" x14ac:dyDescent="0.25">
      <c r="A21" s="7">
        <v>441764</v>
      </c>
      <c r="B21" s="7">
        <v>441766</v>
      </c>
      <c r="C21" s="7"/>
      <c r="D21" s="7">
        <v>441835</v>
      </c>
      <c r="E21" s="7">
        <v>441837</v>
      </c>
      <c r="F21" s="7" t="s">
        <v>8</v>
      </c>
      <c r="H21" s="3" t="s">
        <v>20</v>
      </c>
      <c r="I21" s="3" t="s">
        <v>42</v>
      </c>
      <c r="K21" s="3">
        <v>510</v>
      </c>
    </row>
    <row r="22" spans="1:11" x14ac:dyDescent="0.25">
      <c r="A22" s="7">
        <v>441764</v>
      </c>
      <c r="B22" s="7">
        <v>441765</v>
      </c>
      <c r="C22" s="7"/>
      <c r="D22" s="7">
        <v>441835</v>
      </c>
      <c r="E22" s="7">
        <v>441836</v>
      </c>
      <c r="F22" s="7" t="s">
        <v>8</v>
      </c>
    </row>
    <row r="23" spans="1:11" x14ac:dyDescent="0.25">
      <c r="A23" s="6">
        <v>279546</v>
      </c>
      <c r="B23" s="6">
        <v>279547</v>
      </c>
      <c r="C23" s="6"/>
      <c r="D23" s="6">
        <v>279578</v>
      </c>
      <c r="E23" s="6">
        <v>279579</v>
      </c>
      <c r="F23" s="6" t="s">
        <v>3</v>
      </c>
    </row>
    <row r="24" spans="1:11" x14ac:dyDescent="0.25">
      <c r="A24" s="6">
        <v>438059</v>
      </c>
      <c r="B24" s="6">
        <v>438062</v>
      </c>
      <c r="C24" s="6"/>
      <c r="D24" s="6">
        <v>438130</v>
      </c>
      <c r="E24" s="6">
        <v>438133</v>
      </c>
      <c r="F24" s="6" t="s">
        <v>3</v>
      </c>
    </row>
    <row r="25" spans="1:11" x14ac:dyDescent="0.25">
      <c r="A25" s="6">
        <v>438059</v>
      </c>
      <c r="B25" s="6">
        <v>438060</v>
      </c>
      <c r="C25" s="6"/>
      <c r="D25" s="6">
        <v>438130</v>
      </c>
      <c r="E25" s="6">
        <v>438131</v>
      </c>
      <c r="F25" s="6" t="s">
        <v>3</v>
      </c>
    </row>
    <row r="26" spans="1:11" x14ac:dyDescent="0.25">
      <c r="A26" s="4">
        <v>450826</v>
      </c>
      <c r="B26" s="4">
        <v>450827</v>
      </c>
      <c r="C26" s="4"/>
      <c r="D26" s="4">
        <v>450899</v>
      </c>
      <c r="E26" s="4">
        <v>450900</v>
      </c>
      <c r="F26" s="4" t="s">
        <v>1</v>
      </c>
    </row>
    <row r="27" spans="1:11" x14ac:dyDescent="0.25">
      <c r="A27" s="5">
        <v>287920</v>
      </c>
      <c r="B27" s="5">
        <v>287921</v>
      </c>
      <c r="C27" s="5"/>
      <c r="D27" s="5">
        <v>287953</v>
      </c>
      <c r="E27" s="5">
        <v>287954</v>
      </c>
      <c r="F27" s="5" t="s">
        <v>2</v>
      </c>
    </row>
    <row r="28" spans="1:11" x14ac:dyDescent="0.25">
      <c r="A28" s="5">
        <v>287919</v>
      </c>
      <c r="B28" s="5">
        <v>287920</v>
      </c>
      <c r="C28" s="5"/>
      <c r="D28" s="5">
        <v>287952</v>
      </c>
      <c r="E28" s="5">
        <v>287953</v>
      </c>
      <c r="F28" s="5" t="s">
        <v>2</v>
      </c>
    </row>
    <row r="29" spans="1:11" x14ac:dyDescent="0.25">
      <c r="A29" s="5">
        <v>287910</v>
      </c>
      <c r="B29" s="5">
        <v>287919</v>
      </c>
      <c r="C29" s="5"/>
      <c r="D29" s="5">
        <v>287943</v>
      </c>
      <c r="E29" s="5">
        <v>287952</v>
      </c>
      <c r="F29" s="5" t="s">
        <v>2</v>
      </c>
    </row>
  </sheetData>
  <mergeCells count="2">
    <mergeCell ref="A1:B1"/>
    <mergeCell ref="D1:E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A9E2-4D73-45F3-98A2-F6A97CB80905}">
  <dimension ref="A1:Q46"/>
  <sheetViews>
    <sheetView tabSelected="1" topLeftCell="A19" workbookViewId="0">
      <selection activeCell="H3" sqref="H3"/>
    </sheetView>
  </sheetViews>
  <sheetFormatPr defaultRowHeight="15" x14ac:dyDescent="0.25"/>
  <cols>
    <col min="1" max="5" width="9.140625" style="2"/>
    <col min="6" max="6" width="14.5703125" style="2" customWidth="1"/>
    <col min="7" max="7" width="11.28515625" style="2" customWidth="1"/>
    <col min="8" max="8" width="29" style="2" customWidth="1"/>
    <col min="9" max="9" width="23.85546875" style="2" customWidth="1"/>
    <col min="10" max="10" width="14.42578125" style="2" customWidth="1"/>
    <col min="11" max="11" width="18.42578125" style="2" customWidth="1"/>
    <col min="12" max="16384" width="9.140625" style="2"/>
  </cols>
  <sheetData>
    <row r="1" spans="1:11" x14ac:dyDescent="0.25">
      <c r="A1" s="1" t="s">
        <v>4</v>
      </c>
      <c r="B1" s="1"/>
      <c r="D1" s="1" t="s">
        <v>0</v>
      </c>
      <c r="E1" s="1"/>
      <c r="I1" s="2" t="s">
        <v>24</v>
      </c>
      <c r="K1" s="2" t="s">
        <v>25</v>
      </c>
    </row>
    <row r="2" spans="1:11" s="3" customFormat="1" x14ac:dyDescent="0.25">
      <c r="A2" s="5">
        <v>342107</v>
      </c>
      <c r="B2" s="5">
        <v>342108</v>
      </c>
      <c r="C2" s="5"/>
      <c r="D2" s="5">
        <v>342151</v>
      </c>
      <c r="E2" s="5">
        <v>342152</v>
      </c>
      <c r="F2" s="5" t="s">
        <v>2</v>
      </c>
    </row>
    <row r="3" spans="1:11" s="3" customFormat="1" x14ac:dyDescent="0.25">
      <c r="A3" s="5">
        <v>342112</v>
      </c>
      <c r="B3" s="5">
        <v>342113</v>
      </c>
      <c r="C3" s="5"/>
      <c r="D3" s="5">
        <v>342156</v>
      </c>
      <c r="E3" s="5">
        <v>342157</v>
      </c>
      <c r="F3" s="5" t="s">
        <v>2</v>
      </c>
    </row>
    <row r="4" spans="1:11" s="3" customFormat="1" x14ac:dyDescent="0.25">
      <c r="A4" s="5">
        <v>342111</v>
      </c>
      <c r="B4" s="5">
        <v>342112</v>
      </c>
      <c r="C4" s="5"/>
      <c r="D4" s="5">
        <v>342155</v>
      </c>
      <c r="E4" s="5">
        <v>342156</v>
      </c>
      <c r="F4" s="5" t="s">
        <v>2</v>
      </c>
    </row>
    <row r="5" spans="1:11" s="3" customFormat="1" x14ac:dyDescent="0.25">
      <c r="A5" s="5">
        <v>342108</v>
      </c>
      <c r="B5" s="5">
        <v>342111</v>
      </c>
      <c r="C5" s="5"/>
      <c r="D5" s="5">
        <v>342152</v>
      </c>
      <c r="E5" s="5">
        <v>342155</v>
      </c>
      <c r="F5" s="5" t="s">
        <v>2</v>
      </c>
    </row>
    <row r="6" spans="1:11" s="3" customFormat="1" x14ac:dyDescent="0.25">
      <c r="A6" s="5">
        <v>317621</v>
      </c>
      <c r="B6" s="5">
        <v>317622</v>
      </c>
      <c r="C6" s="5"/>
      <c r="D6" s="5">
        <v>317660</v>
      </c>
      <c r="E6" s="5">
        <v>317661</v>
      </c>
      <c r="F6" s="5" t="s">
        <v>2</v>
      </c>
      <c r="H6" s="3" t="s">
        <v>7</v>
      </c>
      <c r="I6" s="3" t="s">
        <v>5</v>
      </c>
      <c r="K6" s="3" t="s">
        <v>26</v>
      </c>
    </row>
    <row r="7" spans="1:11" s="3" customFormat="1" x14ac:dyDescent="0.25">
      <c r="A7" s="5">
        <v>342113</v>
      </c>
      <c r="B7" s="5">
        <v>342107</v>
      </c>
      <c r="C7" s="5"/>
      <c r="D7" s="5">
        <v>342157</v>
      </c>
      <c r="E7" s="5">
        <v>342151</v>
      </c>
      <c r="F7" s="5" t="s">
        <v>2</v>
      </c>
    </row>
    <row r="8" spans="1:11" s="3" customFormat="1" x14ac:dyDescent="0.25">
      <c r="A8" s="6">
        <v>368622</v>
      </c>
      <c r="B8" s="6">
        <v>368623</v>
      </c>
      <c r="C8" s="6"/>
      <c r="D8" s="6">
        <v>368672</v>
      </c>
      <c r="E8" s="6">
        <v>368673</v>
      </c>
      <c r="F8" s="6" t="s">
        <v>8</v>
      </c>
    </row>
    <row r="9" spans="1:11" s="3" customFormat="1" x14ac:dyDescent="0.25">
      <c r="A9" s="6">
        <v>142440</v>
      </c>
      <c r="B9" s="6">
        <v>142441</v>
      </c>
      <c r="C9" s="6"/>
      <c r="D9" s="6">
        <v>142457</v>
      </c>
      <c r="E9" s="6">
        <v>142458</v>
      </c>
      <c r="F9" s="6" t="s">
        <v>8</v>
      </c>
      <c r="H9" s="3" t="s">
        <v>17</v>
      </c>
      <c r="I9" s="3" t="s">
        <v>18</v>
      </c>
      <c r="K9" s="3" t="s">
        <v>27</v>
      </c>
    </row>
    <row r="10" spans="1:11" s="3" customFormat="1" x14ac:dyDescent="0.25">
      <c r="A10" s="9">
        <v>255872</v>
      </c>
      <c r="B10" s="9">
        <v>255871</v>
      </c>
      <c r="C10" s="9"/>
      <c r="D10" s="9">
        <v>255905</v>
      </c>
      <c r="E10" s="9">
        <v>255904</v>
      </c>
      <c r="F10" s="9" t="s">
        <v>3</v>
      </c>
    </row>
    <row r="11" spans="1:11" s="3" customFormat="1" x14ac:dyDescent="0.25">
      <c r="A11" s="9">
        <v>255869</v>
      </c>
      <c r="B11" s="9">
        <v>255871</v>
      </c>
      <c r="C11" s="9"/>
      <c r="D11" s="9">
        <v>255902</v>
      </c>
      <c r="E11" s="9">
        <v>255904</v>
      </c>
      <c r="F11" s="9" t="s">
        <v>3</v>
      </c>
      <c r="H11" s="3" t="s">
        <v>44</v>
      </c>
      <c r="I11" s="3" t="s">
        <v>45</v>
      </c>
      <c r="K11" s="3">
        <v>483</v>
      </c>
    </row>
    <row r="12" spans="1:11" s="3" customFormat="1" x14ac:dyDescent="0.25">
      <c r="A12" s="9">
        <v>255868</v>
      </c>
      <c r="B12" s="9">
        <v>255870</v>
      </c>
      <c r="C12" s="9"/>
      <c r="D12" s="9">
        <v>255901</v>
      </c>
      <c r="E12" s="9">
        <v>255903</v>
      </c>
      <c r="F12" s="9" t="s">
        <v>3</v>
      </c>
    </row>
    <row r="13" spans="1:11" s="3" customFormat="1" x14ac:dyDescent="0.25">
      <c r="A13" s="9">
        <v>255868</v>
      </c>
      <c r="B13" s="9">
        <v>255869</v>
      </c>
      <c r="C13" s="9"/>
      <c r="D13" s="9">
        <v>255901</v>
      </c>
      <c r="E13" s="9">
        <v>255902</v>
      </c>
      <c r="F13" s="9" t="s">
        <v>3</v>
      </c>
    </row>
    <row r="14" spans="1:11" s="3" customFormat="1" x14ac:dyDescent="0.25">
      <c r="A14" s="9">
        <v>255870</v>
      </c>
      <c r="B14" s="9">
        <v>255872</v>
      </c>
      <c r="C14" s="9"/>
      <c r="D14" s="9">
        <v>255903</v>
      </c>
      <c r="E14" s="9">
        <v>255905</v>
      </c>
      <c r="F14" s="9" t="s">
        <v>3</v>
      </c>
    </row>
    <row r="15" spans="1:11" s="3" customFormat="1" x14ac:dyDescent="0.25">
      <c r="A15" s="4">
        <v>362344</v>
      </c>
      <c r="B15" s="4">
        <v>362345</v>
      </c>
      <c r="C15" s="4"/>
      <c r="D15" s="4">
        <v>362392</v>
      </c>
      <c r="E15" s="4">
        <v>362393</v>
      </c>
      <c r="F15" s="4" t="s">
        <v>1</v>
      </c>
    </row>
    <row r="16" spans="1:11" s="3" customFormat="1" x14ac:dyDescent="0.25">
      <c r="A16" s="4">
        <v>362344</v>
      </c>
      <c r="B16" s="4">
        <v>362346</v>
      </c>
      <c r="C16" s="4"/>
      <c r="D16" s="4">
        <v>362392</v>
      </c>
      <c r="E16" s="4">
        <v>362394</v>
      </c>
      <c r="F16" s="4" t="s">
        <v>1</v>
      </c>
      <c r="H16" s="3" t="s">
        <v>16</v>
      </c>
      <c r="I16" s="3" t="s">
        <v>21</v>
      </c>
      <c r="K16" s="3">
        <v>17</v>
      </c>
    </row>
    <row r="17" spans="1:11" s="3" customFormat="1" x14ac:dyDescent="0.25">
      <c r="A17" s="4">
        <v>362345</v>
      </c>
      <c r="B17" s="4">
        <v>362347</v>
      </c>
      <c r="C17" s="4"/>
      <c r="D17" s="4">
        <v>362393</v>
      </c>
      <c r="E17" s="4">
        <v>362395</v>
      </c>
      <c r="F17" s="4" t="s">
        <v>1</v>
      </c>
    </row>
    <row r="18" spans="1:11" s="3" customFormat="1" x14ac:dyDescent="0.25">
      <c r="A18" s="4">
        <v>362347</v>
      </c>
      <c r="B18" s="4">
        <v>362348</v>
      </c>
      <c r="C18" s="4"/>
      <c r="D18" s="4">
        <v>362395</v>
      </c>
      <c r="E18" s="4">
        <v>362396</v>
      </c>
      <c r="F18" s="4" t="s">
        <v>1</v>
      </c>
    </row>
    <row r="19" spans="1:11" s="3" customFormat="1" x14ac:dyDescent="0.25">
      <c r="A19" s="4">
        <v>362346</v>
      </c>
      <c r="B19" s="4">
        <v>362348</v>
      </c>
      <c r="C19" s="4"/>
      <c r="D19" s="4">
        <v>362394</v>
      </c>
      <c r="E19" s="4">
        <v>362396</v>
      </c>
      <c r="F19" s="4" t="s">
        <v>1</v>
      </c>
    </row>
    <row r="20" spans="1:11" s="3" customFormat="1" x14ac:dyDescent="0.25">
      <c r="A20" s="9">
        <v>544911</v>
      </c>
      <c r="B20" s="9">
        <v>544912</v>
      </c>
      <c r="C20" s="9"/>
      <c r="D20" s="9">
        <v>545016</v>
      </c>
      <c r="E20" s="9">
        <v>545017</v>
      </c>
      <c r="F20" s="9" t="s">
        <v>3</v>
      </c>
      <c r="H20" s="3" t="s">
        <v>6</v>
      </c>
      <c r="I20" s="3" t="s">
        <v>22</v>
      </c>
      <c r="K20" s="3">
        <v>1074</v>
      </c>
    </row>
    <row r="21" spans="1:11" s="3" customFormat="1" x14ac:dyDescent="0.25">
      <c r="A21" s="4">
        <v>44400</v>
      </c>
      <c r="B21" s="4">
        <v>44401</v>
      </c>
      <c r="C21" s="4"/>
      <c r="D21" s="4">
        <v>44410</v>
      </c>
      <c r="E21" s="4">
        <v>44411</v>
      </c>
      <c r="F21" s="4" t="s">
        <v>1</v>
      </c>
    </row>
    <row r="22" spans="1:11" s="3" customFormat="1" x14ac:dyDescent="0.25">
      <c r="A22" s="4">
        <v>44401</v>
      </c>
      <c r="B22" s="4">
        <v>44402</v>
      </c>
      <c r="C22" s="4"/>
      <c r="D22" s="4">
        <v>44411</v>
      </c>
      <c r="E22" s="4">
        <v>44412</v>
      </c>
      <c r="F22" s="4" t="s">
        <v>1</v>
      </c>
    </row>
    <row r="23" spans="1:11" s="3" customFormat="1" x14ac:dyDescent="0.25">
      <c r="A23" s="4">
        <v>44401</v>
      </c>
      <c r="B23" s="4">
        <v>44404</v>
      </c>
      <c r="C23" s="4"/>
      <c r="D23" s="4">
        <v>44411</v>
      </c>
      <c r="E23" s="4">
        <v>44414</v>
      </c>
      <c r="F23" s="4" t="s">
        <v>1</v>
      </c>
    </row>
    <row r="24" spans="1:11" s="3" customFormat="1" x14ac:dyDescent="0.25">
      <c r="A24" s="6">
        <v>368618</v>
      </c>
      <c r="B24" s="6">
        <v>368622</v>
      </c>
      <c r="C24" s="6"/>
      <c r="D24" s="6">
        <v>368668</v>
      </c>
      <c r="E24" s="6">
        <v>368672</v>
      </c>
      <c r="F24" s="6" t="s">
        <v>8</v>
      </c>
    </row>
    <row r="25" spans="1:11" s="3" customFormat="1" x14ac:dyDescent="0.25">
      <c r="A25" s="7">
        <v>287908</v>
      </c>
      <c r="B25" s="7">
        <v>287909</v>
      </c>
      <c r="C25" s="7"/>
      <c r="D25" s="7">
        <v>287943</v>
      </c>
      <c r="E25" s="7">
        <v>287944</v>
      </c>
      <c r="F25" s="7" t="s">
        <v>12</v>
      </c>
      <c r="H25" s="3" t="s">
        <v>9</v>
      </c>
      <c r="I25" s="3" t="s">
        <v>34</v>
      </c>
      <c r="K25" s="3" t="s">
        <v>35</v>
      </c>
    </row>
    <row r="26" spans="1:11" s="3" customFormat="1" x14ac:dyDescent="0.25">
      <c r="A26" s="10">
        <v>187113</v>
      </c>
      <c r="B26" s="10">
        <v>187116</v>
      </c>
      <c r="C26" s="10"/>
      <c r="D26" s="10">
        <v>187141</v>
      </c>
      <c r="E26" s="10">
        <v>187144</v>
      </c>
      <c r="F26" s="10" t="s">
        <v>13</v>
      </c>
      <c r="H26" s="3" t="s">
        <v>10</v>
      </c>
      <c r="I26" s="3" t="s">
        <v>11</v>
      </c>
      <c r="K26" s="3" t="s">
        <v>28</v>
      </c>
    </row>
    <row r="27" spans="1:11" s="3" customFormat="1" x14ac:dyDescent="0.25">
      <c r="A27" s="10">
        <v>187116</v>
      </c>
      <c r="B27" s="10">
        <v>187117</v>
      </c>
      <c r="C27" s="10"/>
      <c r="D27" s="10">
        <v>187144</v>
      </c>
      <c r="E27" s="10">
        <v>187145</v>
      </c>
      <c r="F27" s="10" t="s">
        <v>13</v>
      </c>
    </row>
    <row r="28" spans="1:11" s="3" customFormat="1" x14ac:dyDescent="0.25">
      <c r="A28" s="7">
        <v>424328</v>
      </c>
      <c r="B28" s="7">
        <v>424331</v>
      </c>
      <c r="C28" s="7"/>
      <c r="D28" s="7">
        <v>424399</v>
      </c>
      <c r="E28" s="7">
        <v>424402</v>
      </c>
      <c r="F28" s="7" t="s">
        <v>12</v>
      </c>
      <c r="G28" s="3">
        <f t="shared" ref="G28" si="0">A28+617133</f>
        <v>1041461</v>
      </c>
    </row>
    <row r="29" spans="1:11" s="3" customFormat="1" x14ac:dyDescent="0.25">
      <c r="A29" s="7">
        <v>424327</v>
      </c>
      <c r="B29" s="7">
        <v>424328</v>
      </c>
      <c r="C29" s="7"/>
      <c r="D29" s="7">
        <v>424398</v>
      </c>
      <c r="E29" s="7">
        <v>424399</v>
      </c>
      <c r="F29" s="7" t="s">
        <v>12</v>
      </c>
    </row>
    <row r="30" spans="1:11" s="3" customFormat="1" x14ac:dyDescent="0.25">
      <c r="A30" s="7">
        <v>424333</v>
      </c>
      <c r="B30" s="7">
        <v>424327</v>
      </c>
      <c r="C30" s="7"/>
      <c r="D30" s="7">
        <v>424404</v>
      </c>
      <c r="E30" s="7">
        <v>424398</v>
      </c>
      <c r="F30" s="7" t="s">
        <v>12</v>
      </c>
    </row>
    <row r="31" spans="1:11" s="3" customFormat="1" x14ac:dyDescent="0.25">
      <c r="A31" s="7">
        <v>424332</v>
      </c>
      <c r="B31" s="7">
        <v>424333</v>
      </c>
      <c r="C31" s="7"/>
      <c r="D31" s="7">
        <v>424403</v>
      </c>
      <c r="E31" s="7">
        <v>424404</v>
      </c>
      <c r="F31" s="7" t="s">
        <v>12</v>
      </c>
    </row>
    <row r="32" spans="1:11" s="3" customFormat="1" x14ac:dyDescent="0.25">
      <c r="A32" s="7">
        <v>424331</v>
      </c>
      <c r="B32" s="7">
        <v>424332</v>
      </c>
      <c r="C32" s="7"/>
      <c r="D32" s="7">
        <v>424402</v>
      </c>
      <c r="E32" s="7">
        <v>424403</v>
      </c>
      <c r="F32" s="7" t="s">
        <v>12</v>
      </c>
    </row>
    <row r="33" spans="1:17" s="3" customFormat="1" x14ac:dyDescent="0.25">
      <c r="A33" s="10">
        <v>450776</v>
      </c>
      <c r="B33" s="10">
        <v>450777</v>
      </c>
      <c r="C33" s="10"/>
      <c r="D33" s="10">
        <v>450851</v>
      </c>
      <c r="E33" s="10">
        <v>450852</v>
      </c>
      <c r="F33" s="10" t="s">
        <v>13</v>
      </c>
      <c r="G33" s="3">
        <f>A33+617133</f>
        <v>1067909</v>
      </c>
    </row>
    <row r="34" spans="1:17" s="3" customFormat="1" x14ac:dyDescent="0.25">
      <c r="A34" s="10">
        <v>450777</v>
      </c>
      <c r="B34" s="10">
        <v>450780</v>
      </c>
      <c r="C34" s="10"/>
      <c r="D34" s="10">
        <v>450852</v>
      </c>
      <c r="E34" s="10">
        <v>450855</v>
      </c>
      <c r="F34" s="10" t="s">
        <v>13</v>
      </c>
    </row>
    <row r="35" spans="1:17" s="3" customFormat="1" x14ac:dyDescent="0.25">
      <c r="A35" s="10">
        <v>450782</v>
      </c>
      <c r="B35" s="10">
        <v>450776</v>
      </c>
      <c r="C35" s="10"/>
      <c r="D35" s="10">
        <v>450857</v>
      </c>
      <c r="E35" s="10">
        <v>450851</v>
      </c>
      <c r="F35" s="10" t="s">
        <v>13</v>
      </c>
    </row>
    <row r="36" spans="1:17" s="3" customFormat="1" x14ac:dyDescent="0.25">
      <c r="A36" s="10">
        <v>450781</v>
      </c>
      <c r="B36" s="10">
        <v>450782</v>
      </c>
      <c r="C36" s="10"/>
      <c r="D36" s="10">
        <v>450856</v>
      </c>
      <c r="E36" s="10">
        <v>450857</v>
      </c>
      <c r="F36" s="10" t="s">
        <v>13</v>
      </c>
    </row>
    <row r="37" spans="1:17" s="3" customFormat="1" x14ac:dyDescent="0.25">
      <c r="A37" s="10">
        <v>450780</v>
      </c>
      <c r="B37" s="10">
        <v>450781</v>
      </c>
      <c r="C37" s="10"/>
      <c r="D37" s="10">
        <v>450855</v>
      </c>
      <c r="E37" s="10">
        <v>450856</v>
      </c>
      <c r="F37" s="10" t="s">
        <v>13</v>
      </c>
    </row>
    <row r="38" spans="1:17" s="3" customFormat="1" x14ac:dyDescent="0.25">
      <c r="A38" s="11">
        <v>448180</v>
      </c>
      <c r="B38" s="11">
        <v>448183</v>
      </c>
      <c r="C38" s="11"/>
      <c r="D38" s="11">
        <v>448254</v>
      </c>
      <c r="E38" s="11">
        <v>448257</v>
      </c>
      <c r="F38" s="11" t="s">
        <v>14</v>
      </c>
    </row>
    <row r="39" spans="1:17" s="3" customFormat="1" x14ac:dyDescent="0.25">
      <c r="A39" s="11">
        <v>186550</v>
      </c>
      <c r="B39" s="11">
        <v>186551</v>
      </c>
      <c r="C39" s="11"/>
      <c r="D39" s="11" t="s">
        <v>43</v>
      </c>
      <c r="E39" s="11" t="s">
        <v>43</v>
      </c>
      <c r="F39" s="11" t="s">
        <v>14</v>
      </c>
      <c r="H39" s="3" t="s">
        <v>15</v>
      </c>
      <c r="I39" s="3" t="s">
        <v>23</v>
      </c>
      <c r="K39" s="3">
        <v>717</v>
      </c>
      <c r="N39" s="11">
        <f>A39+617133</f>
        <v>803683</v>
      </c>
      <c r="O39" s="11">
        <f>B39+617133</f>
        <v>803684</v>
      </c>
    </row>
    <row r="40" spans="1:17" s="3" customFormat="1" x14ac:dyDescent="0.25">
      <c r="A40" s="12">
        <v>187186</v>
      </c>
      <c r="B40" s="12">
        <v>1069251</v>
      </c>
      <c r="C40" s="12"/>
      <c r="D40" s="12"/>
      <c r="E40" s="12"/>
      <c r="F40" s="12" t="s">
        <v>33</v>
      </c>
      <c r="G40" s="3">
        <f>B40-617133</f>
        <v>452118</v>
      </c>
      <c r="H40" s="3" t="s">
        <v>37</v>
      </c>
      <c r="I40" s="3" t="s">
        <v>36</v>
      </c>
      <c r="K40" s="3" t="s">
        <v>46</v>
      </c>
      <c r="M40" s="13"/>
      <c r="N40" s="13"/>
      <c r="O40" s="13"/>
      <c r="P40" s="13"/>
    </row>
    <row r="41" spans="1:17" s="3" customFormat="1" x14ac:dyDescent="0.25">
      <c r="A41" s="14">
        <v>187186</v>
      </c>
      <c r="B41" s="14">
        <v>1069251</v>
      </c>
      <c r="C41" s="14"/>
      <c r="D41" s="14"/>
      <c r="E41" s="14"/>
      <c r="F41" s="14" t="s">
        <v>38</v>
      </c>
      <c r="H41" s="3" t="s">
        <v>40</v>
      </c>
      <c r="I41" s="3" t="s">
        <v>39</v>
      </c>
      <c r="K41" s="3">
        <v>65</v>
      </c>
      <c r="M41" s="13"/>
      <c r="N41" s="13"/>
      <c r="O41" s="13"/>
      <c r="P41" s="13"/>
    </row>
    <row r="42" spans="1:17" x14ac:dyDescent="0.25">
      <c r="M42" s="8"/>
      <c r="N42" s="8"/>
      <c r="O42" s="8"/>
      <c r="P42" s="8"/>
      <c r="Q42" s="8"/>
    </row>
    <row r="43" spans="1:17" x14ac:dyDescent="0.25">
      <c r="M43" s="8"/>
      <c r="N43" s="8"/>
      <c r="O43" s="8"/>
      <c r="P43" s="8"/>
      <c r="Q43" s="8"/>
    </row>
    <row r="44" spans="1:17" x14ac:dyDescent="0.25">
      <c r="M44" s="8"/>
      <c r="N44" s="8"/>
      <c r="O44" s="8"/>
      <c r="P44" s="8"/>
      <c r="Q44" s="8"/>
    </row>
    <row r="45" spans="1:17" x14ac:dyDescent="0.25">
      <c r="M45" s="8"/>
      <c r="N45" s="8"/>
      <c r="O45" s="8"/>
      <c r="P45" s="8"/>
      <c r="Q45" s="8"/>
    </row>
    <row r="46" spans="1:17" x14ac:dyDescent="0.25">
      <c r="M46" s="8"/>
      <c r="N46" s="8"/>
      <c r="O46" s="8"/>
      <c r="P46" s="8"/>
      <c r="Q46" s="8"/>
    </row>
  </sheetData>
  <mergeCells count="2">
    <mergeCell ref="A1:B1"/>
    <mergeCell ref="D1:E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constricted</vt:lpstr>
      <vt:lpstr>dilated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Erdong Ding</dc:creator>
  <cp:lastModifiedBy>Erdong Ding</cp:lastModifiedBy>
  <dcterms:created xsi:type="dcterms:W3CDTF">2015-06-05T18:17:20Z</dcterms:created>
  <dcterms:modified xsi:type="dcterms:W3CDTF">2025-01-06T22:50:28Z</dcterms:modified>
</cp:coreProperties>
</file>